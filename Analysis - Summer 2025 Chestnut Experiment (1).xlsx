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und data" sheetId="1" r:id="rId4"/>
    <sheet state="visible" name="Histology assay treatments - Se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8">
      <text>
        <t xml:space="preserve">missing images?
	-Carolyn Hanrahan</t>
      </text>
    </comment>
  </commentList>
</comments>
</file>

<file path=xl/sharedStrings.xml><?xml version="1.0" encoding="utf-8"?>
<sst xmlns="http://schemas.openxmlformats.org/spreadsheetml/2006/main" count="386" uniqueCount="125">
  <si>
    <t>Photo ID</t>
  </si>
  <si>
    <t>Tree #</t>
  </si>
  <si>
    <t>Wound #</t>
  </si>
  <si>
    <t>Experiment</t>
  </si>
  <si>
    <t>Treatment</t>
  </si>
  <si>
    <t>Treatment date</t>
  </si>
  <si>
    <t>Sampling date</t>
  </si>
  <si>
    <t>Wound length (mm)</t>
  </si>
  <si>
    <t>Total discoloration length (mm)</t>
  </si>
  <si>
    <t>discolor - above wound</t>
  </si>
  <si>
    <t>discolor - below wound</t>
  </si>
  <si>
    <t>stem diam - at wound</t>
  </si>
  <si>
    <t>stem diam - 1 cm above wound</t>
  </si>
  <si>
    <t>stem diam - 1 cm below wound</t>
  </si>
  <si>
    <t>Notes</t>
  </si>
  <si>
    <t>A003.1</t>
  </si>
  <si>
    <t>W1</t>
  </si>
  <si>
    <t>EXP 1</t>
  </si>
  <si>
    <t>200ng/ul BTUB</t>
  </si>
  <si>
    <t>A003.2</t>
  </si>
  <si>
    <t>W2</t>
  </si>
  <si>
    <t>A009.1</t>
  </si>
  <si>
    <t>Wounded</t>
  </si>
  <si>
    <t>A009.2</t>
  </si>
  <si>
    <t>A014.1</t>
  </si>
  <si>
    <t>Lipofectamine</t>
  </si>
  <si>
    <t>A014.2</t>
  </si>
  <si>
    <t>A021.1</t>
  </si>
  <si>
    <t>200ng/ul EF1a</t>
  </si>
  <si>
    <t>dead upon sampling</t>
  </si>
  <si>
    <t>A021.2</t>
  </si>
  <si>
    <t>A024.1</t>
  </si>
  <si>
    <t>A024.2</t>
  </si>
  <si>
    <t>A027.1</t>
  </si>
  <si>
    <t>A027.2</t>
  </si>
  <si>
    <t>A055.1</t>
  </si>
  <si>
    <t>200ng/ul GFP</t>
  </si>
  <si>
    <t>NA</t>
  </si>
  <si>
    <t>unable to capture last metric because leaf is in the way. Also, this one has extensive damage/decay!</t>
  </si>
  <si>
    <t>A055.2</t>
  </si>
  <si>
    <t>A061.1</t>
  </si>
  <si>
    <t xml:space="preserve">blurry </t>
  </si>
  <si>
    <t>A061.2</t>
  </si>
  <si>
    <t>A062.1</t>
  </si>
  <si>
    <t>missing images</t>
  </si>
  <si>
    <t>A062.2</t>
  </si>
  <si>
    <t>A073.1</t>
  </si>
  <si>
    <t>A073.2</t>
  </si>
  <si>
    <t>A075.1</t>
  </si>
  <si>
    <t>A075.2</t>
  </si>
  <si>
    <t>unable to capture last metric because something is in the way.</t>
  </si>
  <si>
    <t>A078.1</t>
  </si>
  <si>
    <t>A078.2</t>
  </si>
  <si>
    <t>unable to capture last two metrics from image</t>
  </si>
  <si>
    <t>A080.1</t>
  </si>
  <si>
    <t>A080.2</t>
  </si>
  <si>
    <t>unable to capture last metric from image</t>
  </si>
  <si>
    <t>A082.1</t>
  </si>
  <si>
    <t>A082.2</t>
  </si>
  <si>
    <t>A083.1</t>
  </si>
  <si>
    <t>A083.2</t>
  </si>
  <si>
    <t>A089.1</t>
  </si>
  <si>
    <t xml:space="preserve"> </t>
  </si>
  <si>
    <t>A089.2</t>
  </si>
  <si>
    <t>Used bottom half of wound</t>
  </si>
  <si>
    <t>A091.1</t>
  </si>
  <si>
    <t>A091.2</t>
  </si>
  <si>
    <t>A092.1</t>
  </si>
  <si>
    <t>A092.2</t>
  </si>
  <si>
    <t>A093.1</t>
  </si>
  <si>
    <t>A093.2</t>
  </si>
  <si>
    <t>Below wound diam is less than 1 cm below bottom-  stem goes below pot</t>
  </si>
  <si>
    <t>A094.1</t>
  </si>
  <si>
    <t>A094.2</t>
  </si>
  <si>
    <t>A095.1</t>
  </si>
  <si>
    <t>A095.2</t>
  </si>
  <si>
    <t>A096.1</t>
  </si>
  <si>
    <t>A096.2</t>
  </si>
  <si>
    <t>Below wound diam blocked in imabge</t>
  </si>
  <si>
    <t>A100.1</t>
  </si>
  <si>
    <t>A100.2</t>
  </si>
  <si>
    <t>A101.1</t>
  </si>
  <si>
    <t>A101.2</t>
  </si>
  <si>
    <t>A104.1</t>
  </si>
  <si>
    <t>A104.2</t>
  </si>
  <si>
    <t>Tag</t>
  </si>
  <si>
    <t>Species</t>
  </si>
  <si>
    <t>Date of planting</t>
  </si>
  <si>
    <t>Source</t>
  </si>
  <si>
    <t xml:space="preserve">Experiment </t>
  </si>
  <si>
    <t>Date of treatment</t>
  </si>
  <si>
    <t>Date of sampling</t>
  </si>
  <si>
    <t>Deterioration of tissue around wound site (scale 1-3. 1 = minimal, 3=extensive)</t>
  </si>
  <si>
    <t>A003</t>
  </si>
  <si>
    <t>C. dentata</t>
  </si>
  <si>
    <t>VT-HRC</t>
  </si>
  <si>
    <t>200ng/ul BTUB+ Lipo</t>
  </si>
  <si>
    <t>A024</t>
  </si>
  <si>
    <t>A062</t>
  </si>
  <si>
    <t>A100</t>
  </si>
  <si>
    <t>A104</t>
  </si>
  <si>
    <t>A021</t>
  </si>
  <si>
    <t>200ng/ul EF1a + Lipo</t>
  </si>
  <si>
    <t>A061</t>
  </si>
  <si>
    <t>A082</t>
  </si>
  <si>
    <t>A091</t>
  </si>
  <si>
    <t>A094</t>
  </si>
  <si>
    <t>A055</t>
  </si>
  <si>
    <t>200ng/ul GFP+ Lipo</t>
  </si>
  <si>
    <t>A073</t>
  </si>
  <si>
    <t>A080</t>
  </si>
  <si>
    <t>A083</t>
  </si>
  <si>
    <t>A096</t>
  </si>
  <si>
    <t>A014</t>
  </si>
  <si>
    <t>A075</t>
  </si>
  <si>
    <t>A092</t>
  </si>
  <si>
    <t>A095</t>
  </si>
  <si>
    <t>A101</t>
  </si>
  <si>
    <t>A009</t>
  </si>
  <si>
    <t>A027</t>
  </si>
  <si>
    <t>A078</t>
  </si>
  <si>
    <t>A089</t>
  </si>
  <si>
    <t>used bottom side of wound</t>
  </si>
  <si>
    <t>A093</t>
  </si>
  <si>
    <t>NOTE: wound 1 (ex: "A003.1") goes to Trypan Blue and CellROX Orange. Wound 2 (ex: "A003.2) goes to WGA and BF/DY.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</si>
</sst>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9">
    <font>
      <sz val="10.0"/>
      <color rgb="FF000000"/>
      <name val="Arial"/>
      <scheme val="minor"/>
    </font>
    <font>
      <sz val="11.0"/>
      <color rgb="FF000000"/>
      <name val="Helvetica Neue"/>
    </font>
    <font>
      <sz val="11.0"/>
      <color theme="1"/>
      <name val="Helvetica Neue"/>
    </font>
    <font>
      <sz val="11.0"/>
      <color rgb="FF0A0A0A"/>
      <name val="Helvetica Neue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i/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64D79"/>
        <bgColor rgb="FFA64D79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2" numFmtId="164" xfId="0" applyAlignment="1" applyFont="1" applyNumberFormat="1">
      <alignment horizontal="left" vertical="bottom"/>
    </xf>
    <xf borderId="0" fillId="0" fontId="2" numFmtId="165" xfId="0" applyAlignment="1" applyFont="1" applyNumberFormat="1">
      <alignment horizontal="left" vertical="bottom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left"/>
    </xf>
    <xf borderId="0" fillId="2" fontId="2" numFmtId="164" xfId="0" applyAlignment="1" applyFont="1" applyNumberFormat="1">
      <alignment horizontal="left" vertical="bottom"/>
    </xf>
    <xf borderId="0" fillId="2" fontId="2" numFmtId="165" xfId="0" applyAlignment="1" applyFont="1" applyNumberFormat="1">
      <alignment horizontal="left" vertical="bottom"/>
    </xf>
    <xf borderId="0" fillId="2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vertical="bottom"/>
    </xf>
    <xf borderId="0" fillId="3" fontId="7" numFmtId="0" xfId="0" applyAlignment="1" applyFont="1">
      <alignment vertical="bottom"/>
    </xf>
    <xf borderId="0" fillId="3" fontId="6" numFmtId="164" xfId="0" applyAlignment="1" applyFont="1" applyNumberFormat="1">
      <alignment vertical="bottom"/>
    </xf>
    <xf borderId="0" fillId="0" fontId="6" numFmtId="165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4" fontId="6" numFmtId="0" xfId="0" applyAlignment="1" applyFill="1" applyFont="1">
      <alignment vertical="bottom"/>
    </xf>
    <xf borderId="0" fillId="4" fontId="7" numFmtId="0" xfId="0" applyAlignment="1" applyFont="1">
      <alignment vertical="bottom"/>
    </xf>
    <xf borderId="0" fillId="4" fontId="6" numFmtId="164" xfId="0" applyAlignment="1" applyFont="1" applyNumberFormat="1">
      <alignment vertical="bottom"/>
    </xf>
    <xf borderId="0" fillId="5" fontId="6" numFmtId="0" xfId="0" applyAlignment="1" applyFill="1" applyFont="1">
      <alignment vertical="bottom"/>
    </xf>
    <xf borderId="0" fillId="5" fontId="7" numFmtId="0" xfId="0" applyAlignment="1" applyFont="1">
      <alignment vertical="bottom"/>
    </xf>
    <xf borderId="0" fillId="5" fontId="6" numFmtId="164" xfId="0" applyAlignment="1" applyFont="1" applyNumberFormat="1">
      <alignment vertical="bottom"/>
    </xf>
    <xf borderId="0" fillId="6" fontId="6" numFmtId="0" xfId="0" applyAlignment="1" applyFill="1" applyFont="1">
      <alignment vertical="bottom"/>
    </xf>
    <xf borderId="0" fillId="6" fontId="7" numFmtId="0" xfId="0" applyAlignment="1" applyFont="1">
      <alignment vertical="bottom"/>
    </xf>
    <xf borderId="0" fillId="6" fontId="6" numFmtId="164" xfId="0" applyAlignment="1" applyFont="1" applyNumberFormat="1">
      <alignment vertical="bottom"/>
    </xf>
    <xf borderId="0" fillId="7" fontId="6" numFmtId="0" xfId="0" applyAlignment="1" applyFill="1" applyFont="1">
      <alignment vertical="bottom"/>
    </xf>
    <xf borderId="0" fillId="7" fontId="7" numFmtId="0" xfId="0" applyAlignment="1" applyFont="1">
      <alignment vertical="bottom"/>
    </xf>
    <xf borderId="0" fillId="7" fontId="6" numFmtId="164" xfId="0" applyAlignment="1" applyFont="1" applyNumberFormat="1">
      <alignment vertical="bottom"/>
    </xf>
    <xf borderId="0" fillId="0" fontId="6" numFmtId="0" xfId="0" applyAlignment="1" applyFont="1">
      <alignment readingOrder="0" vertical="bottom"/>
    </xf>
    <xf borderId="0" fillId="8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6.0"/>
    <col customWidth="1" min="3" max="3" width="8.25"/>
    <col customWidth="1" min="4" max="4" width="10.25"/>
    <col customWidth="1" min="5" max="5" width="18.75"/>
    <col customWidth="1" min="6" max="6" width="15.25"/>
    <col customWidth="1" min="7" max="7" width="15.13"/>
    <col customWidth="1" min="8" max="8" width="16.88"/>
    <col customWidth="1" min="9" max="9" width="38.63"/>
    <col customWidth="1" min="10" max="10" width="20.38"/>
    <col customWidth="1" min="11" max="11" width="20.25"/>
    <col customWidth="1" min="12" max="12" width="21.5"/>
    <col customWidth="1" min="13" max="13" width="27.0"/>
    <col customWidth="1" min="14" max="14" width="28.75"/>
    <col customWidth="1" min="15" max="15" width="6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" t="s">
        <v>15</v>
      </c>
      <c r="B2" s="4" t="str">
        <f t="shared" ref="B2:B51" si="1">LEFT(A2, LEN(A2)-2)</f>
        <v>A003</v>
      </c>
      <c r="C2" s="1" t="s">
        <v>16</v>
      </c>
      <c r="D2" s="1" t="s">
        <v>17</v>
      </c>
      <c r="E2" s="1" t="s">
        <v>18</v>
      </c>
      <c r="F2" s="5">
        <v>45898.0</v>
      </c>
      <c r="G2" s="6">
        <v>45922.0</v>
      </c>
      <c r="H2" s="2">
        <v>5.62</v>
      </c>
      <c r="I2" s="7">
        <f t="shared" ref="I2:I17" si="2">J2+K2</f>
        <v>2.455</v>
      </c>
      <c r="J2" s="2">
        <v>0.836</v>
      </c>
      <c r="K2" s="2">
        <v>1.619</v>
      </c>
      <c r="L2" s="1">
        <v>3.987</v>
      </c>
      <c r="M2" s="1">
        <v>3.413</v>
      </c>
      <c r="N2" s="1">
        <v>4.0</v>
      </c>
      <c r="O2" s="8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 t="s">
        <v>19</v>
      </c>
      <c r="B3" s="4" t="str">
        <f t="shared" si="1"/>
        <v>A003</v>
      </c>
      <c r="C3" s="1" t="s">
        <v>20</v>
      </c>
      <c r="D3" s="1" t="s">
        <v>17</v>
      </c>
      <c r="E3" s="1" t="s">
        <v>18</v>
      </c>
      <c r="F3" s="5">
        <v>45898.0</v>
      </c>
      <c r="G3" s="6">
        <v>45922.0</v>
      </c>
      <c r="H3" s="2">
        <v>6.441</v>
      </c>
      <c r="I3" s="7">
        <f t="shared" si="2"/>
        <v>1.536</v>
      </c>
      <c r="J3" s="2">
        <v>1.032</v>
      </c>
      <c r="K3" s="2">
        <v>0.504</v>
      </c>
      <c r="L3" s="1">
        <v>4.391</v>
      </c>
      <c r="M3" s="1">
        <v>4.042</v>
      </c>
      <c r="N3" s="1">
        <v>4.416</v>
      </c>
      <c r="O3" s="8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" t="s">
        <v>21</v>
      </c>
      <c r="B4" s="4" t="str">
        <f t="shared" si="1"/>
        <v>A009</v>
      </c>
      <c r="C4" s="1" t="s">
        <v>16</v>
      </c>
      <c r="D4" s="1" t="s">
        <v>17</v>
      </c>
      <c r="E4" s="1" t="s">
        <v>22</v>
      </c>
      <c r="F4" s="5">
        <v>45898.0</v>
      </c>
      <c r="G4" s="6">
        <v>45922.0</v>
      </c>
      <c r="H4" s="2">
        <v>4.912</v>
      </c>
      <c r="I4" s="7">
        <f t="shared" si="2"/>
        <v>4.735</v>
      </c>
      <c r="J4" s="2">
        <v>3.098</v>
      </c>
      <c r="K4" s="2">
        <v>1.637</v>
      </c>
      <c r="L4" s="1">
        <v>3.763</v>
      </c>
      <c r="M4" s="1">
        <v>3.628</v>
      </c>
      <c r="N4" s="1">
        <v>3.85</v>
      </c>
      <c r="O4" s="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" t="s">
        <v>23</v>
      </c>
      <c r="B5" s="4" t="str">
        <f t="shared" si="1"/>
        <v>A009</v>
      </c>
      <c r="C5" s="1" t="s">
        <v>20</v>
      </c>
      <c r="D5" s="1" t="s">
        <v>17</v>
      </c>
      <c r="E5" s="1" t="s">
        <v>22</v>
      </c>
      <c r="F5" s="5">
        <v>45898.0</v>
      </c>
      <c r="G5" s="6">
        <v>45922.0</v>
      </c>
      <c r="H5" s="2">
        <v>5.279</v>
      </c>
      <c r="I5" s="7">
        <f t="shared" si="2"/>
        <v>2.533</v>
      </c>
      <c r="J5" s="2">
        <v>1.031</v>
      </c>
      <c r="K5" s="2">
        <v>1.502</v>
      </c>
      <c r="L5" s="1">
        <v>4.034</v>
      </c>
      <c r="M5" s="1">
        <v>3.691</v>
      </c>
      <c r="N5" s="1">
        <v>4.678</v>
      </c>
      <c r="O5" s="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" t="s">
        <v>24</v>
      </c>
      <c r="B6" s="4" t="str">
        <f t="shared" si="1"/>
        <v>A014</v>
      </c>
      <c r="C6" s="1" t="s">
        <v>16</v>
      </c>
      <c r="D6" s="1" t="s">
        <v>17</v>
      </c>
      <c r="E6" s="1" t="s">
        <v>25</v>
      </c>
      <c r="F6" s="5">
        <v>45898.0</v>
      </c>
      <c r="G6" s="6">
        <v>45922.0</v>
      </c>
      <c r="H6" s="2">
        <v>4.864</v>
      </c>
      <c r="I6" s="7">
        <f t="shared" si="2"/>
        <v>2.637</v>
      </c>
      <c r="J6" s="2">
        <v>1.273</v>
      </c>
      <c r="K6" s="2">
        <v>1.364</v>
      </c>
      <c r="L6" s="1">
        <v>3.818</v>
      </c>
      <c r="M6" s="1">
        <v>3.916</v>
      </c>
      <c r="N6" s="1">
        <v>3.41</v>
      </c>
      <c r="O6" s="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" t="s">
        <v>26</v>
      </c>
      <c r="B7" s="4" t="str">
        <f t="shared" si="1"/>
        <v>A014</v>
      </c>
      <c r="C7" s="1" t="s">
        <v>20</v>
      </c>
      <c r="D7" s="1" t="s">
        <v>17</v>
      </c>
      <c r="E7" s="1" t="s">
        <v>25</v>
      </c>
      <c r="F7" s="5">
        <v>45898.0</v>
      </c>
      <c r="G7" s="6">
        <v>45922.0</v>
      </c>
      <c r="H7" s="2">
        <v>6.365</v>
      </c>
      <c r="I7" s="7">
        <f t="shared" si="2"/>
        <v>2.835</v>
      </c>
      <c r="J7" s="2">
        <v>0.85</v>
      </c>
      <c r="K7" s="2">
        <v>1.985</v>
      </c>
      <c r="L7" s="1">
        <v>4.132</v>
      </c>
      <c r="M7" s="1">
        <v>3.809</v>
      </c>
      <c r="N7" s="1">
        <v>4.215</v>
      </c>
      <c r="O7" s="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" t="s">
        <v>27</v>
      </c>
      <c r="B8" s="4" t="str">
        <f t="shared" si="1"/>
        <v>A021</v>
      </c>
      <c r="C8" s="1" t="s">
        <v>16</v>
      </c>
      <c r="D8" s="1" t="s">
        <v>17</v>
      </c>
      <c r="E8" s="1" t="s">
        <v>28</v>
      </c>
      <c r="F8" s="5">
        <v>45898.0</v>
      </c>
      <c r="G8" s="6">
        <v>45922.0</v>
      </c>
      <c r="H8" s="2">
        <v>5.173</v>
      </c>
      <c r="I8" s="7">
        <f t="shared" si="2"/>
        <v>1.923</v>
      </c>
      <c r="J8" s="2">
        <v>0.979</v>
      </c>
      <c r="K8" s="2">
        <v>0.944</v>
      </c>
      <c r="L8" s="1">
        <v>2.444</v>
      </c>
      <c r="M8" s="1">
        <v>2.602</v>
      </c>
      <c r="N8" s="1">
        <v>2.775</v>
      </c>
      <c r="O8" s="1" t="s">
        <v>29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" t="s">
        <v>30</v>
      </c>
      <c r="B9" s="4" t="str">
        <f t="shared" si="1"/>
        <v>A021</v>
      </c>
      <c r="C9" s="1" t="s">
        <v>20</v>
      </c>
      <c r="D9" s="1" t="s">
        <v>17</v>
      </c>
      <c r="E9" s="1" t="s">
        <v>28</v>
      </c>
      <c r="F9" s="5">
        <v>45898.0</v>
      </c>
      <c r="G9" s="6">
        <v>45922.0</v>
      </c>
      <c r="H9" s="2">
        <v>4.761</v>
      </c>
      <c r="I9" s="7">
        <f t="shared" si="2"/>
        <v>2.805</v>
      </c>
      <c r="J9" s="2">
        <v>0.935</v>
      </c>
      <c r="K9" s="2">
        <v>1.87</v>
      </c>
      <c r="L9" s="1">
        <v>2.754</v>
      </c>
      <c r="M9" s="1">
        <v>2.765</v>
      </c>
      <c r="N9" s="1">
        <v>2.989</v>
      </c>
      <c r="O9" s="1" t="s">
        <v>29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" t="s">
        <v>31</v>
      </c>
      <c r="B10" s="4" t="str">
        <f t="shared" si="1"/>
        <v>A024</v>
      </c>
      <c r="C10" s="1" t="s">
        <v>16</v>
      </c>
      <c r="D10" s="1" t="s">
        <v>17</v>
      </c>
      <c r="E10" s="1" t="s">
        <v>18</v>
      </c>
      <c r="F10" s="5">
        <v>45898.0</v>
      </c>
      <c r="G10" s="6">
        <v>45922.0</v>
      </c>
      <c r="H10" s="2">
        <v>7.887</v>
      </c>
      <c r="I10" s="7">
        <f t="shared" si="2"/>
        <v>4.428</v>
      </c>
      <c r="J10" s="2">
        <v>1.891</v>
      </c>
      <c r="K10" s="2">
        <v>2.537</v>
      </c>
      <c r="L10" s="1">
        <v>4.719</v>
      </c>
      <c r="M10" s="1">
        <v>4.278</v>
      </c>
      <c r="N10" s="1">
        <v>4.721</v>
      </c>
      <c r="O10" s="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" t="s">
        <v>32</v>
      </c>
      <c r="B11" s="4" t="str">
        <f t="shared" si="1"/>
        <v>A024</v>
      </c>
      <c r="C11" s="1" t="s">
        <v>20</v>
      </c>
      <c r="D11" s="1" t="s">
        <v>17</v>
      </c>
      <c r="E11" s="1" t="s">
        <v>18</v>
      </c>
      <c r="F11" s="5">
        <v>45898.0</v>
      </c>
      <c r="G11" s="6">
        <v>45922.0</v>
      </c>
      <c r="H11" s="2">
        <v>7.069</v>
      </c>
      <c r="I11" s="7">
        <f t="shared" si="2"/>
        <v>2.978</v>
      </c>
      <c r="J11" s="2">
        <v>1.311</v>
      </c>
      <c r="K11" s="2">
        <v>1.667</v>
      </c>
      <c r="L11" s="1">
        <v>5.65</v>
      </c>
      <c r="M11" s="1">
        <v>4.695</v>
      </c>
      <c r="N11" s="1">
        <v>5.959</v>
      </c>
      <c r="O11" s="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" t="s">
        <v>33</v>
      </c>
      <c r="B12" s="4" t="str">
        <f t="shared" si="1"/>
        <v>A027</v>
      </c>
      <c r="C12" s="1" t="s">
        <v>16</v>
      </c>
      <c r="D12" s="1" t="s">
        <v>17</v>
      </c>
      <c r="E12" s="1" t="s">
        <v>22</v>
      </c>
      <c r="F12" s="5">
        <v>45898.0</v>
      </c>
      <c r="G12" s="6">
        <v>45922.0</v>
      </c>
      <c r="H12" s="2">
        <v>5.884</v>
      </c>
      <c r="I12" s="7">
        <f t="shared" si="2"/>
        <v>1.815</v>
      </c>
      <c r="J12" s="2">
        <v>0.615</v>
      </c>
      <c r="K12" s="2">
        <v>1.2</v>
      </c>
      <c r="L12" s="1">
        <v>3.772</v>
      </c>
      <c r="M12" s="1">
        <v>3.433</v>
      </c>
      <c r="N12" s="1">
        <v>3.924</v>
      </c>
      <c r="O12" s="8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" t="s">
        <v>34</v>
      </c>
      <c r="B13" s="4" t="str">
        <f t="shared" si="1"/>
        <v>A027</v>
      </c>
      <c r="C13" s="1" t="s">
        <v>20</v>
      </c>
      <c r="D13" s="1" t="s">
        <v>17</v>
      </c>
      <c r="E13" s="1" t="s">
        <v>22</v>
      </c>
      <c r="F13" s="5">
        <v>45898.0</v>
      </c>
      <c r="G13" s="6">
        <v>45922.0</v>
      </c>
      <c r="H13" s="2">
        <v>4.595</v>
      </c>
      <c r="I13" s="7">
        <f t="shared" si="2"/>
        <v>1.504</v>
      </c>
      <c r="J13" s="2">
        <v>0.602</v>
      </c>
      <c r="K13" s="2">
        <v>0.902</v>
      </c>
      <c r="L13" s="1">
        <v>3.989</v>
      </c>
      <c r="M13" s="1">
        <v>3.915</v>
      </c>
      <c r="N13" s="1">
        <v>4.163</v>
      </c>
      <c r="O13" s="8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" t="s">
        <v>35</v>
      </c>
      <c r="B14" s="4" t="str">
        <f t="shared" si="1"/>
        <v>A055</v>
      </c>
      <c r="C14" s="1" t="s">
        <v>16</v>
      </c>
      <c r="D14" s="1" t="s">
        <v>17</v>
      </c>
      <c r="E14" s="1" t="s">
        <v>36</v>
      </c>
      <c r="F14" s="5">
        <v>45898.0</v>
      </c>
      <c r="G14" s="6">
        <v>45922.0</v>
      </c>
      <c r="H14" s="2">
        <v>7.974</v>
      </c>
      <c r="I14" s="7">
        <f t="shared" si="2"/>
        <v>3.713</v>
      </c>
      <c r="J14" s="2">
        <v>0.949</v>
      </c>
      <c r="K14" s="2">
        <v>2.764</v>
      </c>
      <c r="L14" s="1">
        <v>3.793</v>
      </c>
      <c r="M14" s="1">
        <v>3.75</v>
      </c>
      <c r="N14" s="1" t="s">
        <v>37</v>
      </c>
      <c r="O14" s="1" t="s">
        <v>38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" t="s">
        <v>39</v>
      </c>
      <c r="B15" s="4" t="str">
        <f t="shared" si="1"/>
        <v>A055</v>
      </c>
      <c r="C15" s="1" t="s">
        <v>20</v>
      </c>
      <c r="D15" s="1" t="s">
        <v>17</v>
      </c>
      <c r="E15" s="1" t="s">
        <v>36</v>
      </c>
      <c r="F15" s="5">
        <v>45898.0</v>
      </c>
      <c r="G15" s="6">
        <v>45922.0</v>
      </c>
      <c r="H15" s="2">
        <v>5.377</v>
      </c>
      <c r="I15" s="7">
        <f t="shared" si="2"/>
        <v>2.315</v>
      </c>
      <c r="J15" s="2">
        <v>1.285</v>
      </c>
      <c r="K15" s="2">
        <v>1.03</v>
      </c>
      <c r="L15" s="1">
        <v>5.004</v>
      </c>
      <c r="M15" s="1">
        <v>4.86</v>
      </c>
      <c r="N15" s="1">
        <v>4.85</v>
      </c>
      <c r="O15" s="1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" t="s">
        <v>40</v>
      </c>
      <c r="B16" s="4" t="str">
        <f t="shared" si="1"/>
        <v>A061</v>
      </c>
      <c r="C16" s="1" t="s">
        <v>16</v>
      </c>
      <c r="D16" s="1" t="s">
        <v>17</v>
      </c>
      <c r="E16" s="1" t="s">
        <v>28</v>
      </c>
      <c r="F16" s="5">
        <v>45898.0</v>
      </c>
      <c r="G16" s="6">
        <v>45922.0</v>
      </c>
      <c r="H16" s="2">
        <v>4.657</v>
      </c>
      <c r="I16" s="7">
        <f t="shared" si="2"/>
        <v>3.187</v>
      </c>
      <c r="J16" s="2">
        <v>1.218</v>
      </c>
      <c r="K16" s="2">
        <v>1.969</v>
      </c>
      <c r="L16" s="1">
        <v>4.528</v>
      </c>
      <c r="M16" s="1">
        <v>3.718</v>
      </c>
      <c r="N16" s="1">
        <v>3.89</v>
      </c>
      <c r="O16" s="1" t="s">
        <v>41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" t="s">
        <v>42</v>
      </c>
      <c r="B17" s="4" t="str">
        <f t="shared" si="1"/>
        <v>A061</v>
      </c>
      <c r="C17" s="1" t="s">
        <v>16</v>
      </c>
      <c r="D17" s="1" t="s">
        <v>17</v>
      </c>
      <c r="E17" s="1" t="s">
        <v>28</v>
      </c>
      <c r="F17" s="5">
        <v>45898.0</v>
      </c>
      <c r="G17" s="6">
        <v>45922.0</v>
      </c>
      <c r="H17" s="2">
        <v>5.404</v>
      </c>
      <c r="I17" s="7">
        <f t="shared" si="2"/>
        <v>3.328</v>
      </c>
      <c r="J17" s="2">
        <v>1.49</v>
      </c>
      <c r="K17" s="2">
        <v>1.838</v>
      </c>
      <c r="L17" s="1">
        <v>4.247</v>
      </c>
      <c r="M17" s="1">
        <v>3.589</v>
      </c>
      <c r="N17" s="1">
        <v>4.669</v>
      </c>
      <c r="O17" s="8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9" t="s">
        <v>43</v>
      </c>
      <c r="B18" s="10" t="str">
        <f t="shared" si="1"/>
        <v>A062</v>
      </c>
      <c r="C18" s="9" t="s">
        <v>20</v>
      </c>
      <c r="D18" s="9" t="s">
        <v>17</v>
      </c>
      <c r="E18" s="9" t="s">
        <v>18</v>
      </c>
      <c r="F18" s="11">
        <v>45898.0</v>
      </c>
      <c r="G18" s="12">
        <v>45922.0</v>
      </c>
      <c r="H18" s="13" t="s">
        <v>37</v>
      </c>
      <c r="I18" s="13" t="s">
        <v>37</v>
      </c>
      <c r="J18" s="13" t="s">
        <v>37</v>
      </c>
      <c r="K18" s="13" t="s">
        <v>37</v>
      </c>
      <c r="L18" s="13" t="s">
        <v>37</v>
      </c>
      <c r="M18" s="13" t="s">
        <v>37</v>
      </c>
      <c r="N18" s="13" t="s">
        <v>37</v>
      </c>
      <c r="O18" s="9" t="s">
        <v>44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9" t="s">
        <v>45</v>
      </c>
      <c r="B19" s="10" t="str">
        <f t="shared" si="1"/>
        <v>A062</v>
      </c>
      <c r="C19" s="9" t="s">
        <v>16</v>
      </c>
      <c r="D19" s="9" t="s">
        <v>17</v>
      </c>
      <c r="E19" s="9" t="s">
        <v>18</v>
      </c>
      <c r="F19" s="11">
        <v>45898.0</v>
      </c>
      <c r="G19" s="12">
        <v>45922.0</v>
      </c>
      <c r="H19" s="13" t="s">
        <v>37</v>
      </c>
      <c r="I19" s="13" t="s">
        <v>37</v>
      </c>
      <c r="J19" s="13" t="s">
        <v>37</v>
      </c>
      <c r="K19" s="13" t="s">
        <v>37</v>
      </c>
      <c r="L19" s="13" t="s">
        <v>37</v>
      </c>
      <c r="M19" s="13" t="s">
        <v>37</v>
      </c>
      <c r="N19" s="13" t="s">
        <v>37</v>
      </c>
      <c r="O19" s="9" t="s">
        <v>44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" t="s">
        <v>46</v>
      </c>
      <c r="B20" s="4" t="str">
        <f t="shared" si="1"/>
        <v>A073</v>
      </c>
      <c r="C20" s="1" t="s">
        <v>20</v>
      </c>
      <c r="D20" s="1" t="s">
        <v>17</v>
      </c>
      <c r="E20" s="1" t="s">
        <v>36</v>
      </c>
      <c r="F20" s="5">
        <v>45898.0</v>
      </c>
      <c r="G20" s="6">
        <v>45922.0</v>
      </c>
      <c r="H20" s="2">
        <v>7.779</v>
      </c>
      <c r="I20" s="7">
        <f t="shared" ref="I20:I51" si="3">J20+K20</f>
        <v>3.093</v>
      </c>
      <c r="J20" s="2">
        <v>1.093</v>
      </c>
      <c r="K20" s="2">
        <v>2.0</v>
      </c>
      <c r="L20" s="1">
        <v>4.968</v>
      </c>
      <c r="M20" s="1">
        <v>4.357</v>
      </c>
      <c r="N20" s="1">
        <v>4.808</v>
      </c>
      <c r="O20" s="8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" t="s">
        <v>47</v>
      </c>
      <c r="B21" s="4" t="str">
        <f t="shared" si="1"/>
        <v>A073</v>
      </c>
      <c r="C21" s="1" t="s">
        <v>16</v>
      </c>
      <c r="D21" s="1" t="s">
        <v>17</v>
      </c>
      <c r="E21" s="1" t="s">
        <v>36</v>
      </c>
      <c r="F21" s="5">
        <v>45898.0</v>
      </c>
      <c r="G21" s="6">
        <v>45922.0</v>
      </c>
      <c r="H21" s="2">
        <v>6.634</v>
      </c>
      <c r="I21" s="7">
        <f t="shared" si="3"/>
        <v>3.373</v>
      </c>
      <c r="J21" s="2">
        <v>1.631</v>
      </c>
      <c r="K21" s="2">
        <v>1.742</v>
      </c>
      <c r="L21" s="1">
        <v>5.414</v>
      </c>
      <c r="M21" s="1">
        <v>4.666</v>
      </c>
      <c r="N21" s="1">
        <v>5.219</v>
      </c>
      <c r="O21" s="8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" t="s">
        <v>48</v>
      </c>
      <c r="B22" s="4" t="str">
        <f t="shared" si="1"/>
        <v>A075</v>
      </c>
      <c r="C22" s="1" t="s">
        <v>20</v>
      </c>
      <c r="D22" s="1" t="s">
        <v>17</v>
      </c>
      <c r="E22" s="1" t="s">
        <v>25</v>
      </c>
      <c r="F22" s="5">
        <v>45898.0</v>
      </c>
      <c r="G22" s="6">
        <v>45922.0</v>
      </c>
      <c r="H22" s="2">
        <v>5.953</v>
      </c>
      <c r="I22" s="7">
        <f t="shared" si="3"/>
        <v>2.861</v>
      </c>
      <c r="J22" s="2">
        <v>1.075</v>
      </c>
      <c r="K22" s="2">
        <v>1.786</v>
      </c>
      <c r="L22" s="1">
        <v>4.509</v>
      </c>
      <c r="M22" s="1">
        <v>4.378</v>
      </c>
      <c r="N22" s="2">
        <v>4.333</v>
      </c>
      <c r="O22" s="8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" t="s">
        <v>49</v>
      </c>
      <c r="B23" s="4" t="str">
        <f t="shared" si="1"/>
        <v>A075</v>
      </c>
      <c r="C23" s="1" t="s">
        <v>16</v>
      </c>
      <c r="D23" s="1" t="s">
        <v>17</v>
      </c>
      <c r="E23" s="1" t="s">
        <v>25</v>
      </c>
      <c r="F23" s="5">
        <v>45898.0</v>
      </c>
      <c r="G23" s="6">
        <v>45922.0</v>
      </c>
      <c r="H23" s="2">
        <v>5.106</v>
      </c>
      <c r="I23" s="7">
        <f t="shared" si="3"/>
        <v>3.368</v>
      </c>
      <c r="J23" s="2">
        <v>1.287</v>
      </c>
      <c r="K23" s="2">
        <v>2.081</v>
      </c>
      <c r="L23" s="1">
        <v>5.154</v>
      </c>
      <c r="M23" s="1">
        <v>4.905</v>
      </c>
      <c r="N23" s="1" t="s">
        <v>37</v>
      </c>
      <c r="O23" s="1" t="s">
        <v>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" t="s">
        <v>51</v>
      </c>
      <c r="B24" s="4" t="str">
        <f t="shared" si="1"/>
        <v>A078</v>
      </c>
      <c r="C24" s="1" t="s">
        <v>20</v>
      </c>
      <c r="D24" s="1" t="s">
        <v>17</v>
      </c>
      <c r="E24" s="1" t="s">
        <v>22</v>
      </c>
      <c r="F24" s="5">
        <v>45898.0</v>
      </c>
      <c r="G24" s="6">
        <v>45922.0</v>
      </c>
      <c r="H24" s="2">
        <v>4.133</v>
      </c>
      <c r="I24" s="7">
        <f t="shared" si="3"/>
        <v>2.713</v>
      </c>
      <c r="J24" s="2">
        <v>0.732</v>
      </c>
      <c r="K24" s="2">
        <v>1.981</v>
      </c>
      <c r="L24" s="1">
        <v>4.003</v>
      </c>
      <c r="M24" s="1">
        <v>4.047</v>
      </c>
      <c r="N24" s="1">
        <v>4.392</v>
      </c>
      <c r="O24" s="8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" t="s">
        <v>52</v>
      </c>
      <c r="B25" s="4" t="str">
        <f t="shared" si="1"/>
        <v>A078</v>
      </c>
      <c r="C25" s="1" t="s">
        <v>16</v>
      </c>
      <c r="D25" s="1" t="s">
        <v>17</v>
      </c>
      <c r="E25" s="1" t="s">
        <v>22</v>
      </c>
      <c r="F25" s="5">
        <v>45898.0</v>
      </c>
      <c r="G25" s="6">
        <v>45922.0</v>
      </c>
      <c r="H25" s="2">
        <v>6.689</v>
      </c>
      <c r="I25" s="7">
        <f t="shared" si="3"/>
        <v>1.096</v>
      </c>
      <c r="J25" s="2">
        <v>0.641</v>
      </c>
      <c r="K25" s="2">
        <v>0.455</v>
      </c>
      <c r="L25" s="1">
        <v>4.361</v>
      </c>
      <c r="M25" s="1" t="s">
        <v>37</v>
      </c>
      <c r="N25" s="1" t="s">
        <v>37</v>
      </c>
      <c r="O25" s="1" t="s">
        <v>53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" t="s">
        <v>54</v>
      </c>
      <c r="B26" s="4" t="str">
        <f t="shared" si="1"/>
        <v>A080</v>
      </c>
      <c r="C26" s="1" t="s">
        <v>20</v>
      </c>
      <c r="D26" s="1" t="s">
        <v>17</v>
      </c>
      <c r="E26" s="1" t="s">
        <v>36</v>
      </c>
      <c r="F26" s="5">
        <v>45898.0</v>
      </c>
      <c r="G26" s="6">
        <v>45922.0</v>
      </c>
      <c r="H26" s="2">
        <v>4.9</v>
      </c>
      <c r="I26" s="7">
        <f t="shared" si="3"/>
        <v>2.816</v>
      </c>
      <c r="J26" s="2">
        <v>1.111</v>
      </c>
      <c r="K26" s="2">
        <v>1.705</v>
      </c>
      <c r="L26" s="1">
        <v>3.851</v>
      </c>
      <c r="M26" s="1">
        <v>4.296</v>
      </c>
      <c r="N26" s="1">
        <v>4.148</v>
      </c>
      <c r="O26" s="8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" t="s">
        <v>55</v>
      </c>
      <c r="B27" s="4" t="str">
        <f t="shared" si="1"/>
        <v>A080</v>
      </c>
      <c r="C27" s="1" t="s">
        <v>16</v>
      </c>
      <c r="D27" s="1" t="s">
        <v>17</v>
      </c>
      <c r="E27" s="1" t="s">
        <v>36</v>
      </c>
      <c r="F27" s="5">
        <v>45898.0</v>
      </c>
      <c r="G27" s="6">
        <v>45922.0</v>
      </c>
      <c r="H27" s="2">
        <v>6.534</v>
      </c>
      <c r="I27" s="7">
        <f t="shared" si="3"/>
        <v>1.921</v>
      </c>
      <c r="J27" s="2">
        <v>0.561</v>
      </c>
      <c r="K27" s="2">
        <v>1.36</v>
      </c>
      <c r="L27" s="1">
        <v>4.172</v>
      </c>
      <c r="M27" s="1">
        <v>3.809</v>
      </c>
      <c r="N27" s="1" t="s">
        <v>37</v>
      </c>
      <c r="O27" s="1" t="s">
        <v>56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1" t="s">
        <v>57</v>
      </c>
      <c r="B28" s="4" t="str">
        <f t="shared" si="1"/>
        <v>A082</v>
      </c>
      <c r="C28" s="1" t="s">
        <v>20</v>
      </c>
      <c r="D28" s="1" t="s">
        <v>17</v>
      </c>
      <c r="E28" s="1" t="s">
        <v>28</v>
      </c>
      <c r="F28" s="5">
        <v>45898.0</v>
      </c>
      <c r="G28" s="6">
        <v>45922.0</v>
      </c>
      <c r="H28" s="2">
        <v>4.216</v>
      </c>
      <c r="I28" s="7">
        <f t="shared" si="3"/>
        <v>3.413</v>
      </c>
      <c r="J28" s="2">
        <v>2.449</v>
      </c>
      <c r="K28" s="2">
        <v>0.964</v>
      </c>
      <c r="L28" s="2">
        <v>4.095</v>
      </c>
      <c r="M28" s="1">
        <v>3.573</v>
      </c>
      <c r="N28" s="1">
        <v>3.493</v>
      </c>
      <c r="O28" s="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" t="s">
        <v>58</v>
      </c>
      <c r="B29" s="4" t="str">
        <f t="shared" si="1"/>
        <v>A082</v>
      </c>
      <c r="C29" s="1" t="s">
        <v>16</v>
      </c>
      <c r="D29" s="1" t="s">
        <v>17</v>
      </c>
      <c r="E29" s="1" t="s">
        <v>28</v>
      </c>
      <c r="F29" s="5">
        <v>45898.0</v>
      </c>
      <c r="G29" s="6">
        <v>45922.0</v>
      </c>
      <c r="H29" s="2">
        <v>5.208</v>
      </c>
      <c r="I29" s="7">
        <f t="shared" si="3"/>
        <v>2.994</v>
      </c>
      <c r="J29" s="2">
        <v>0.998</v>
      </c>
      <c r="K29" s="2">
        <v>1.996</v>
      </c>
      <c r="L29" s="2">
        <v>4.47</v>
      </c>
      <c r="M29" s="1">
        <v>3.862</v>
      </c>
      <c r="N29" s="1">
        <v>4.079</v>
      </c>
      <c r="O29" s="8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" t="s">
        <v>59</v>
      </c>
      <c r="B30" s="4" t="str">
        <f t="shared" si="1"/>
        <v>A083</v>
      </c>
      <c r="C30" s="1" t="s">
        <v>20</v>
      </c>
      <c r="D30" s="1" t="s">
        <v>17</v>
      </c>
      <c r="E30" s="1" t="s">
        <v>36</v>
      </c>
      <c r="F30" s="5">
        <v>45898.0</v>
      </c>
      <c r="G30" s="6">
        <v>45922.0</v>
      </c>
      <c r="H30" s="2">
        <v>6.326</v>
      </c>
      <c r="I30" s="7">
        <f t="shared" si="3"/>
        <v>5.831</v>
      </c>
      <c r="J30" s="2">
        <v>0.775</v>
      </c>
      <c r="K30" s="2">
        <v>5.056</v>
      </c>
      <c r="L30" s="2">
        <v>4.597</v>
      </c>
      <c r="M30" s="1">
        <v>4.395</v>
      </c>
      <c r="N30" s="1">
        <v>4.345</v>
      </c>
      <c r="O30" s="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" t="s">
        <v>60</v>
      </c>
      <c r="B31" s="4" t="str">
        <f t="shared" si="1"/>
        <v>A083</v>
      </c>
      <c r="C31" s="1" t="s">
        <v>16</v>
      </c>
      <c r="D31" s="1" t="s">
        <v>17</v>
      </c>
      <c r="E31" s="1" t="s">
        <v>36</v>
      </c>
      <c r="F31" s="5">
        <v>45898.0</v>
      </c>
      <c r="G31" s="6">
        <v>45922.0</v>
      </c>
      <c r="H31" s="2">
        <v>5.851</v>
      </c>
      <c r="I31" s="7">
        <f t="shared" si="3"/>
        <v>3.334</v>
      </c>
      <c r="J31" s="2">
        <v>0.689</v>
      </c>
      <c r="K31" s="2">
        <v>2.645</v>
      </c>
      <c r="L31" s="2">
        <v>4.867</v>
      </c>
      <c r="M31" s="2">
        <v>4.355</v>
      </c>
      <c r="N31" s="2">
        <v>4.82</v>
      </c>
      <c r="O31" s="7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" t="s">
        <v>61</v>
      </c>
      <c r="B32" s="4" t="str">
        <f t="shared" si="1"/>
        <v>A089</v>
      </c>
      <c r="C32" s="1" t="s">
        <v>16</v>
      </c>
      <c r="D32" s="1" t="s">
        <v>17</v>
      </c>
      <c r="E32" s="1" t="s">
        <v>22</v>
      </c>
      <c r="F32" s="5">
        <v>45898.0</v>
      </c>
      <c r="G32" s="6">
        <v>45922.0</v>
      </c>
      <c r="H32" s="2">
        <v>3.801</v>
      </c>
      <c r="I32" s="7">
        <f t="shared" si="3"/>
        <v>1.202</v>
      </c>
      <c r="J32" s="2">
        <v>0.574</v>
      </c>
      <c r="K32" s="2">
        <v>0.628</v>
      </c>
      <c r="L32" s="2">
        <v>4.291</v>
      </c>
      <c r="M32" s="2">
        <v>3.933</v>
      </c>
      <c r="N32" s="2">
        <v>4.064</v>
      </c>
      <c r="O32" s="7"/>
      <c r="P32" s="3"/>
      <c r="Q32" s="14" t="s">
        <v>62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" t="s">
        <v>63</v>
      </c>
      <c r="B33" s="4" t="str">
        <f t="shared" si="1"/>
        <v>A089</v>
      </c>
      <c r="C33" s="1" t="s">
        <v>20</v>
      </c>
      <c r="D33" s="1" t="s">
        <v>17</v>
      </c>
      <c r="E33" s="1" t="s">
        <v>22</v>
      </c>
      <c r="F33" s="5">
        <v>45898.0</v>
      </c>
      <c r="G33" s="6">
        <v>45922.0</v>
      </c>
      <c r="H33" s="2">
        <v>6.551</v>
      </c>
      <c r="I33" s="7">
        <f t="shared" si="3"/>
        <v>1.805</v>
      </c>
      <c r="J33" s="2">
        <v>0.856</v>
      </c>
      <c r="K33" s="2">
        <v>0.949</v>
      </c>
      <c r="L33" s="2">
        <v>4.471</v>
      </c>
      <c r="M33" s="2">
        <v>4.798</v>
      </c>
      <c r="N33" s="2">
        <v>4.284</v>
      </c>
      <c r="O33" s="2" t="s">
        <v>64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" t="s">
        <v>65</v>
      </c>
      <c r="B34" s="4" t="str">
        <f t="shared" si="1"/>
        <v>A091</v>
      </c>
      <c r="C34" s="1" t="s">
        <v>16</v>
      </c>
      <c r="D34" s="1" t="s">
        <v>17</v>
      </c>
      <c r="E34" s="1" t="s">
        <v>28</v>
      </c>
      <c r="F34" s="5">
        <v>45898.0</v>
      </c>
      <c r="G34" s="6">
        <v>45922.0</v>
      </c>
      <c r="H34" s="2">
        <v>4.592</v>
      </c>
      <c r="I34" s="7">
        <f t="shared" si="3"/>
        <v>4.526</v>
      </c>
      <c r="J34" s="2">
        <v>1.788</v>
      </c>
      <c r="K34" s="2">
        <v>2.738</v>
      </c>
      <c r="L34" s="2">
        <v>3.974</v>
      </c>
      <c r="M34" s="2">
        <v>3.158</v>
      </c>
      <c r="N34" s="2">
        <v>3.224</v>
      </c>
      <c r="O34" s="8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" t="s">
        <v>66</v>
      </c>
      <c r="B35" s="4" t="str">
        <f t="shared" si="1"/>
        <v>A091</v>
      </c>
      <c r="C35" s="1" t="s">
        <v>20</v>
      </c>
      <c r="D35" s="1" t="s">
        <v>17</v>
      </c>
      <c r="E35" s="1" t="s">
        <v>28</v>
      </c>
      <c r="F35" s="5">
        <v>45898.0</v>
      </c>
      <c r="G35" s="6">
        <v>45922.0</v>
      </c>
      <c r="H35" s="2">
        <v>4.566</v>
      </c>
      <c r="I35" s="7">
        <f t="shared" si="3"/>
        <v>3.349</v>
      </c>
      <c r="J35" s="2">
        <v>2.122</v>
      </c>
      <c r="K35" s="2">
        <v>1.227</v>
      </c>
      <c r="L35" s="2">
        <v>4.064</v>
      </c>
      <c r="M35" s="1">
        <v>3.664</v>
      </c>
      <c r="N35" s="1">
        <v>3.852</v>
      </c>
      <c r="O35" s="8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1" t="s">
        <v>67</v>
      </c>
      <c r="B36" s="4" t="str">
        <f t="shared" si="1"/>
        <v>A092</v>
      </c>
      <c r="C36" s="1" t="s">
        <v>16</v>
      </c>
      <c r="D36" s="1" t="s">
        <v>17</v>
      </c>
      <c r="E36" s="1" t="s">
        <v>25</v>
      </c>
      <c r="F36" s="5">
        <v>45898.0</v>
      </c>
      <c r="G36" s="6">
        <v>45922.0</v>
      </c>
      <c r="H36" s="2">
        <v>6.636</v>
      </c>
      <c r="I36" s="7">
        <f t="shared" si="3"/>
        <v>1.472</v>
      </c>
      <c r="J36" s="2">
        <v>1.062</v>
      </c>
      <c r="K36" s="2">
        <v>0.41</v>
      </c>
      <c r="L36" s="2">
        <v>4.544</v>
      </c>
      <c r="M36" s="1">
        <v>3.916</v>
      </c>
      <c r="N36" s="1">
        <v>4.025</v>
      </c>
      <c r="O36" s="8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" t="s">
        <v>68</v>
      </c>
      <c r="B37" s="4" t="str">
        <f t="shared" si="1"/>
        <v>A092</v>
      </c>
      <c r="C37" s="1" t="s">
        <v>20</v>
      </c>
      <c r="D37" s="1" t="s">
        <v>17</v>
      </c>
      <c r="E37" s="1" t="s">
        <v>25</v>
      </c>
      <c r="F37" s="5">
        <v>45898.0</v>
      </c>
      <c r="G37" s="6">
        <v>45922.0</v>
      </c>
      <c r="H37" s="2">
        <v>5.095</v>
      </c>
      <c r="I37" s="7">
        <f t="shared" si="3"/>
        <v>4.399</v>
      </c>
      <c r="J37" s="2">
        <v>0.822</v>
      </c>
      <c r="K37" s="2">
        <v>3.577</v>
      </c>
      <c r="L37" s="2">
        <v>5.322</v>
      </c>
      <c r="M37" s="2">
        <v>4.831</v>
      </c>
      <c r="N37" s="2">
        <v>4.968</v>
      </c>
      <c r="O37" s="8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" t="s">
        <v>69</v>
      </c>
      <c r="B38" s="4" t="str">
        <f t="shared" si="1"/>
        <v>A093</v>
      </c>
      <c r="C38" s="1" t="s">
        <v>16</v>
      </c>
      <c r="D38" s="1" t="s">
        <v>17</v>
      </c>
      <c r="E38" s="1" t="s">
        <v>22</v>
      </c>
      <c r="F38" s="5">
        <v>45898.0</v>
      </c>
      <c r="G38" s="6">
        <v>45922.0</v>
      </c>
      <c r="H38" s="2">
        <v>6.357</v>
      </c>
      <c r="I38" s="7">
        <f t="shared" si="3"/>
        <v>1.195</v>
      </c>
      <c r="J38" s="2">
        <v>0.53</v>
      </c>
      <c r="K38" s="2">
        <v>0.665</v>
      </c>
      <c r="L38" s="2">
        <v>3.548</v>
      </c>
      <c r="M38" s="2">
        <v>2.897</v>
      </c>
      <c r="N38" s="2">
        <v>3.674</v>
      </c>
      <c r="O38" s="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" t="s">
        <v>70</v>
      </c>
      <c r="B39" s="4" t="str">
        <f t="shared" si="1"/>
        <v>A093</v>
      </c>
      <c r="C39" s="1" t="s">
        <v>20</v>
      </c>
      <c r="D39" s="1" t="s">
        <v>17</v>
      </c>
      <c r="E39" s="1" t="s">
        <v>22</v>
      </c>
      <c r="F39" s="5">
        <v>45898.0</v>
      </c>
      <c r="G39" s="6">
        <v>45922.0</v>
      </c>
      <c r="H39" s="2">
        <v>3.908</v>
      </c>
      <c r="I39" s="7">
        <f t="shared" si="3"/>
        <v>1.595</v>
      </c>
      <c r="J39" s="2">
        <v>0.762</v>
      </c>
      <c r="K39" s="2">
        <v>0.833</v>
      </c>
      <c r="L39" s="2">
        <v>4.155</v>
      </c>
      <c r="M39" s="2">
        <v>3.224</v>
      </c>
      <c r="N39" s="2">
        <v>3.582</v>
      </c>
      <c r="O39" s="1" t="s">
        <v>71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" t="s">
        <v>72</v>
      </c>
      <c r="B40" s="4" t="str">
        <f t="shared" si="1"/>
        <v>A094</v>
      </c>
      <c r="C40" s="1" t="s">
        <v>16</v>
      </c>
      <c r="D40" s="1" t="s">
        <v>17</v>
      </c>
      <c r="E40" s="1" t="s">
        <v>28</v>
      </c>
      <c r="F40" s="5">
        <v>45898.0</v>
      </c>
      <c r="G40" s="6">
        <v>45922.0</v>
      </c>
      <c r="H40" s="2">
        <v>4.604</v>
      </c>
      <c r="I40" s="7">
        <f t="shared" si="3"/>
        <v>2.183</v>
      </c>
      <c r="J40" s="2">
        <v>1.046</v>
      </c>
      <c r="K40" s="2">
        <v>1.137</v>
      </c>
      <c r="L40" s="2">
        <v>3.843</v>
      </c>
      <c r="M40" s="2">
        <v>3.164</v>
      </c>
      <c r="N40" s="2">
        <v>3.238</v>
      </c>
      <c r="O40" s="8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" t="s">
        <v>73</v>
      </c>
      <c r="B41" s="4" t="str">
        <f t="shared" si="1"/>
        <v>A094</v>
      </c>
      <c r="C41" s="1" t="s">
        <v>20</v>
      </c>
      <c r="D41" s="1" t="s">
        <v>17</v>
      </c>
      <c r="E41" s="1" t="s">
        <v>28</v>
      </c>
      <c r="F41" s="5">
        <v>45898.0</v>
      </c>
      <c r="G41" s="6">
        <v>45922.0</v>
      </c>
      <c r="H41" s="2">
        <v>5.581</v>
      </c>
      <c r="I41" s="7">
        <f t="shared" si="3"/>
        <v>3.078</v>
      </c>
      <c r="J41" s="2">
        <v>1.858</v>
      </c>
      <c r="K41" s="2">
        <v>1.22</v>
      </c>
      <c r="L41" s="2">
        <v>4.386</v>
      </c>
      <c r="M41" s="2">
        <v>3.967</v>
      </c>
      <c r="N41" s="2">
        <v>3.868</v>
      </c>
      <c r="O41" s="8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1" t="s">
        <v>74</v>
      </c>
      <c r="B42" s="4" t="str">
        <f t="shared" si="1"/>
        <v>A095</v>
      </c>
      <c r="C42" s="1" t="s">
        <v>16</v>
      </c>
      <c r="D42" s="1" t="s">
        <v>17</v>
      </c>
      <c r="E42" s="1" t="s">
        <v>25</v>
      </c>
      <c r="F42" s="5">
        <v>45898.0</v>
      </c>
      <c r="G42" s="6">
        <v>45922.0</v>
      </c>
      <c r="H42" s="2">
        <v>4.491</v>
      </c>
      <c r="I42" s="7">
        <f t="shared" si="3"/>
        <v>1.831</v>
      </c>
      <c r="J42" s="2">
        <v>0.79</v>
      </c>
      <c r="K42" s="2">
        <v>1.041</v>
      </c>
      <c r="L42" s="2">
        <v>3.762</v>
      </c>
      <c r="M42" s="2">
        <v>3.394</v>
      </c>
      <c r="N42" s="2">
        <v>3.316</v>
      </c>
      <c r="O42" s="8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" t="s">
        <v>75</v>
      </c>
      <c r="B43" s="4" t="str">
        <f t="shared" si="1"/>
        <v>A095</v>
      </c>
      <c r="C43" s="1" t="s">
        <v>20</v>
      </c>
      <c r="D43" s="1" t="s">
        <v>17</v>
      </c>
      <c r="E43" s="1" t="s">
        <v>25</v>
      </c>
      <c r="F43" s="5">
        <v>45898.0</v>
      </c>
      <c r="G43" s="6">
        <v>45922.0</v>
      </c>
      <c r="H43" s="2">
        <v>5.984</v>
      </c>
      <c r="I43" s="7">
        <f t="shared" si="3"/>
        <v>2.853</v>
      </c>
      <c r="J43" s="2">
        <v>0.978</v>
      </c>
      <c r="K43" s="2">
        <v>1.875</v>
      </c>
      <c r="L43" s="2">
        <v>4.605</v>
      </c>
      <c r="M43" s="2">
        <v>3.864</v>
      </c>
      <c r="N43" s="2">
        <v>4.147</v>
      </c>
      <c r="O43" s="8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1" t="s">
        <v>76</v>
      </c>
      <c r="B44" s="4" t="str">
        <f t="shared" si="1"/>
        <v>A096</v>
      </c>
      <c r="C44" s="1" t="s">
        <v>16</v>
      </c>
      <c r="D44" s="1" t="s">
        <v>17</v>
      </c>
      <c r="E44" s="1" t="s">
        <v>36</v>
      </c>
      <c r="F44" s="5">
        <v>45898.0</v>
      </c>
      <c r="G44" s="6">
        <v>45922.0</v>
      </c>
      <c r="H44" s="2">
        <v>6.281</v>
      </c>
      <c r="I44" s="7">
        <f t="shared" si="3"/>
        <v>6.502</v>
      </c>
      <c r="J44" s="2">
        <v>1.834</v>
      </c>
      <c r="K44" s="2">
        <v>4.668</v>
      </c>
      <c r="L44" s="2">
        <v>4.598</v>
      </c>
      <c r="M44" s="2">
        <v>3.881</v>
      </c>
      <c r="N44" s="2">
        <v>4.091</v>
      </c>
      <c r="O44" s="8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" t="s">
        <v>77</v>
      </c>
      <c r="B45" s="4" t="str">
        <f t="shared" si="1"/>
        <v>A096</v>
      </c>
      <c r="C45" s="1" t="s">
        <v>20</v>
      </c>
      <c r="D45" s="1" t="s">
        <v>17</v>
      </c>
      <c r="E45" s="1" t="s">
        <v>36</v>
      </c>
      <c r="F45" s="5">
        <v>45898.0</v>
      </c>
      <c r="G45" s="6">
        <v>45922.0</v>
      </c>
      <c r="H45" s="2">
        <v>7.017</v>
      </c>
      <c r="I45" s="7">
        <f t="shared" si="3"/>
        <v>1.842</v>
      </c>
      <c r="J45" s="2">
        <v>0.686</v>
      </c>
      <c r="K45" s="2">
        <v>1.156</v>
      </c>
      <c r="L45" s="2">
        <v>5.054</v>
      </c>
      <c r="M45" s="2">
        <v>3.895</v>
      </c>
      <c r="N45" s="1" t="s">
        <v>37</v>
      </c>
      <c r="O45" s="1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1" t="s">
        <v>79</v>
      </c>
      <c r="B46" s="4" t="str">
        <f t="shared" si="1"/>
        <v>A100</v>
      </c>
      <c r="C46" s="1" t="s">
        <v>16</v>
      </c>
      <c r="D46" s="1" t="s">
        <v>17</v>
      </c>
      <c r="E46" s="1" t="s">
        <v>18</v>
      </c>
      <c r="F46" s="5">
        <v>45898.0</v>
      </c>
      <c r="G46" s="6">
        <v>45922.0</v>
      </c>
      <c r="H46" s="2">
        <v>4.222</v>
      </c>
      <c r="I46" s="7">
        <f t="shared" si="3"/>
        <v>2.099</v>
      </c>
      <c r="J46" s="2">
        <v>0.865</v>
      </c>
      <c r="K46" s="2">
        <v>1.234</v>
      </c>
      <c r="L46" s="2">
        <v>3.78</v>
      </c>
      <c r="M46" s="2">
        <v>3.609</v>
      </c>
      <c r="N46" s="2">
        <v>3.636</v>
      </c>
      <c r="O46" s="8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" t="s">
        <v>80</v>
      </c>
      <c r="B47" s="4" t="str">
        <f t="shared" si="1"/>
        <v>A100</v>
      </c>
      <c r="C47" s="1" t="s">
        <v>16</v>
      </c>
      <c r="D47" s="1" t="s">
        <v>17</v>
      </c>
      <c r="E47" s="1" t="s">
        <v>18</v>
      </c>
      <c r="F47" s="5">
        <v>45898.0</v>
      </c>
      <c r="G47" s="6">
        <v>45922.0</v>
      </c>
      <c r="H47" s="2">
        <v>6.253</v>
      </c>
      <c r="I47" s="7">
        <f t="shared" si="3"/>
        <v>2.141</v>
      </c>
      <c r="J47" s="2">
        <v>0.994</v>
      </c>
      <c r="K47" s="2">
        <v>1.147</v>
      </c>
      <c r="L47" s="2">
        <v>4.185</v>
      </c>
      <c r="M47" s="2">
        <v>3.871</v>
      </c>
      <c r="N47" s="2">
        <v>4.568</v>
      </c>
      <c r="O47" s="8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1" t="s">
        <v>81</v>
      </c>
      <c r="B48" s="4" t="str">
        <f t="shared" si="1"/>
        <v>A101</v>
      </c>
      <c r="C48" s="1" t="s">
        <v>20</v>
      </c>
      <c r="D48" s="1" t="s">
        <v>17</v>
      </c>
      <c r="E48" s="1" t="s">
        <v>25</v>
      </c>
      <c r="F48" s="5">
        <v>45898.0</v>
      </c>
      <c r="G48" s="6">
        <v>45922.0</v>
      </c>
      <c r="H48" s="2">
        <v>6.984</v>
      </c>
      <c r="I48" s="7">
        <f t="shared" si="3"/>
        <v>1.321</v>
      </c>
      <c r="J48" s="2">
        <v>0.603</v>
      </c>
      <c r="K48" s="2">
        <v>0.718</v>
      </c>
      <c r="L48" s="2">
        <v>4.887</v>
      </c>
      <c r="M48" s="2">
        <v>4.572</v>
      </c>
      <c r="N48" s="2">
        <v>4.475</v>
      </c>
      <c r="O48" s="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" t="s">
        <v>82</v>
      </c>
      <c r="B49" s="4" t="str">
        <f t="shared" si="1"/>
        <v>A101</v>
      </c>
      <c r="C49" s="1" t="s">
        <v>16</v>
      </c>
      <c r="D49" s="1" t="s">
        <v>17</v>
      </c>
      <c r="E49" s="1" t="s">
        <v>25</v>
      </c>
      <c r="F49" s="5">
        <v>45898.0</v>
      </c>
      <c r="G49" s="6">
        <v>45922.0</v>
      </c>
      <c r="H49" s="2">
        <v>6.918</v>
      </c>
      <c r="I49" s="7">
        <f t="shared" si="3"/>
        <v>2.471</v>
      </c>
      <c r="J49" s="2">
        <v>1.215</v>
      </c>
      <c r="K49" s="2">
        <v>1.256</v>
      </c>
      <c r="L49" s="2">
        <v>4.929</v>
      </c>
      <c r="M49" s="2">
        <v>4.532</v>
      </c>
      <c r="N49" s="2">
        <v>5.007</v>
      </c>
      <c r="O49" s="8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1" t="s">
        <v>83</v>
      </c>
      <c r="B50" s="4" t="str">
        <f t="shared" si="1"/>
        <v>A104</v>
      </c>
      <c r="C50" s="1" t="s">
        <v>20</v>
      </c>
      <c r="D50" s="1" t="s">
        <v>17</v>
      </c>
      <c r="E50" s="1" t="s">
        <v>18</v>
      </c>
      <c r="F50" s="5">
        <v>45898.0</v>
      </c>
      <c r="G50" s="6">
        <v>45922.0</v>
      </c>
      <c r="H50" s="2">
        <v>7.293</v>
      </c>
      <c r="I50" s="7">
        <f t="shared" si="3"/>
        <v>3.902</v>
      </c>
      <c r="J50" s="2">
        <v>0.876</v>
      </c>
      <c r="K50" s="2">
        <v>3.026</v>
      </c>
      <c r="L50" s="2">
        <v>3.657</v>
      </c>
      <c r="M50" s="2">
        <v>3.403</v>
      </c>
      <c r="N50" s="2">
        <v>3.592</v>
      </c>
      <c r="O50" s="8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" t="s">
        <v>84</v>
      </c>
      <c r="B51" s="4" t="str">
        <f t="shared" si="1"/>
        <v>A104</v>
      </c>
      <c r="C51" s="1" t="s">
        <v>16</v>
      </c>
      <c r="D51" s="1" t="s">
        <v>17</v>
      </c>
      <c r="E51" s="1" t="s">
        <v>18</v>
      </c>
      <c r="F51" s="5">
        <v>45898.0</v>
      </c>
      <c r="G51" s="6">
        <v>45922.0</v>
      </c>
      <c r="H51" s="2">
        <v>5.932</v>
      </c>
      <c r="I51" s="7">
        <f t="shared" si="3"/>
        <v>3.105</v>
      </c>
      <c r="J51" s="2">
        <v>2.114</v>
      </c>
      <c r="K51" s="2">
        <v>0.991</v>
      </c>
      <c r="L51" s="2">
        <v>4.551</v>
      </c>
      <c r="M51" s="2">
        <v>3.951</v>
      </c>
      <c r="N51" s="2">
        <v>4.46</v>
      </c>
      <c r="O51" s="8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6" max="6" width="16.88"/>
    <col customWidth="1" min="7" max="7" width="14.75"/>
    <col customWidth="1" min="8" max="8" width="14.38"/>
    <col customWidth="1" min="9" max="9" width="20.88"/>
    <col customWidth="1" min="10" max="10" width="53.88"/>
  </cols>
  <sheetData>
    <row r="1">
      <c r="A1" s="15" t="s">
        <v>85</v>
      </c>
      <c r="B1" s="15" t="s">
        <v>86</v>
      </c>
      <c r="C1" s="15" t="s">
        <v>87</v>
      </c>
      <c r="D1" s="15" t="s">
        <v>88</v>
      </c>
      <c r="E1" s="15" t="s">
        <v>89</v>
      </c>
      <c r="F1" s="15" t="s">
        <v>4</v>
      </c>
      <c r="G1" s="15" t="s">
        <v>90</v>
      </c>
      <c r="H1" s="15" t="s">
        <v>91</v>
      </c>
      <c r="I1" s="16" t="s">
        <v>14</v>
      </c>
      <c r="J1" s="17" t="s">
        <v>92</v>
      </c>
    </row>
    <row r="2">
      <c r="A2" s="18" t="s">
        <v>93</v>
      </c>
      <c r="B2" s="19" t="s">
        <v>94</v>
      </c>
      <c r="C2" s="20">
        <v>45722.0</v>
      </c>
      <c r="D2" s="18" t="s">
        <v>95</v>
      </c>
      <c r="E2" s="18" t="s">
        <v>17</v>
      </c>
      <c r="F2" s="18" t="s">
        <v>96</v>
      </c>
      <c r="G2" s="20">
        <v>45898.0</v>
      </c>
      <c r="H2" s="21">
        <v>45922.0</v>
      </c>
      <c r="I2" s="22"/>
    </row>
    <row r="3">
      <c r="A3" s="18" t="s">
        <v>97</v>
      </c>
      <c r="B3" s="19" t="s">
        <v>94</v>
      </c>
      <c r="C3" s="20">
        <v>45722.0</v>
      </c>
      <c r="D3" s="18" t="s">
        <v>95</v>
      </c>
      <c r="E3" s="18" t="s">
        <v>17</v>
      </c>
      <c r="F3" s="18" t="s">
        <v>96</v>
      </c>
      <c r="G3" s="20">
        <v>45898.0</v>
      </c>
      <c r="H3" s="21">
        <v>45922.0</v>
      </c>
      <c r="I3" s="22"/>
    </row>
    <row r="4">
      <c r="A4" s="18" t="s">
        <v>98</v>
      </c>
      <c r="B4" s="19" t="s">
        <v>94</v>
      </c>
      <c r="C4" s="20">
        <v>45736.0</v>
      </c>
      <c r="D4" s="18" t="s">
        <v>95</v>
      </c>
      <c r="E4" s="18" t="s">
        <v>17</v>
      </c>
      <c r="F4" s="18" t="s">
        <v>96</v>
      </c>
      <c r="G4" s="20">
        <v>45898.0</v>
      </c>
      <c r="H4" s="21">
        <v>45922.0</v>
      </c>
      <c r="I4" s="22"/>
    </row>
    <row r="5">
      <c r="A5" s="18" t="s">
        <v>99</v>
      </c>
      <c r="B5" s="19" t="s">
        <v>94</v>
      </c>
      <c r="C5" s="20">
        <v>45751.0</v>
      </c>
      <c r="D5" s="18" t="s">
        <v>95</v>
      </c>
      <c r="E5" s="18" t="s">
        <v>17</v>
      </c>
      <c r="F5" s="18" t="s">
        <v>96</v>
      </c>
      <c r="G5" s="20">
        <v>45898.0</v>
      </c>
      <c r="H5" s="21">
        <v>45922.0</v>
      </c>
      <c r="I5" s="22"/>
    </row>
    <row r="6">
      <c r="A6" s="18" t="s">
        <v>100</v>
      </c>
      <c r="B6" s="19" t="s">
        <v>94</v>
      </c>
      <c r="C6" s="20">
        <v>45751.0</v>
      </c>
      <c r="D6" s="18" t="s">
        <v>95</v>
      </c>
      <c r="E6" s="18" t="s">
        <v>17</v>
      </c>
      <c r="F6" s="18" t="s">
        <v>96</v>
      </c>
      <c r="G6" s="20">
        <v>45898.0</v>
      </c>
      <c r="H6" s="21">
        <v>45922.0</v>
      </c>
      <c r="I6" s="22"/>
    </row>
    <row r="7">
      <c r="A7" s="23" t="s">
        <v>101</v>
      </c>
      <c r="B7" s="24" t="s">
        <v>94</v>
      </c>
      <c r="C7" s="25">
        <v>45722.0</v>
      </c>
      <c r="D7" s="23" t="s">
        <v>95</v>
      </c>
      <c r="E7" s="23" t="s">
        <v>17</v>
      </c>
      <c r="F7" s="23" t="s">
        <v>102</v>
      </c>
      <c r="G7" s="25">
        <v>45898.0</v>
      </c>
      <c r="H7" s="21">
        <v>45922.0</v>
      </c>
      <c r="I7" s="22" t="s">
        <v>29</v>
      </c>
    </row>
    <row r="8">
      <c r="A8" s="23" t="s">
        <v>103</v>
      </c>
      <c r="B8" s="24" t="s">
        <v>94</v>
      </c>
      <c r="C8" s="25">
        <v>45736.0</v>
      </c>
      <c r="D8" s="23" t="s">
        <v>95</v>
      </c>
      <c r="E8" s="23" t="s">
        <v>17</v>
      </c>
      <c r="F8" s="23" t="s">
        <v>102</v>
      </c>
      <c r="G8" s="25">
        <v>45898.0</v>
      </c>
      <c r="H8" s="21">
        <v>45922.0</v>
      </c>
      <c r="I8" s="22"/>
    </row>
    <row r="9">
      <c r="A9" s="23" t="s">
        <v>104</v>
      </c>
      <c r="B9" s="24" t="s">
        <v>94</v>
      </c>
      <c r="C9" s="25">
        <v>45751.0</v>
      </c>
      <c r="D9" s="23" t="s">
        <v>95</v>
      </c>
      <c r="E9" s="23" t="s">
        <v>17</v>
      </c>
      <c r="F9" s="23" t="s">
        <v>102</v>
      </c>
      <c r="G9" s="25">
        <v>45898.0</v>
      </c>
      <c r="H9" s="21">
        <v>45922.0</v>
      </c>
      <c r="I9" s="22"/>
    </row>
    <row r="10">
      <c r="A10" s="23" t="s">
        <v>105</v>
      </c>
      <c r="B10" s="24" t="s">
        <v>94</v>
      </c>
      <c r="C10" s="25">
        <v>45751.0</v>
      </c>
      <c r="D10" s="23" t="s">
        <v>95</v>
      </c>
      <c r="E10" s="23" t="s">
        <v>17</v>
      </c>
      <c r="F10" s="23" t="s">
        <v>102</v>
      </c>
      <c r="G10" s="25">
        <v>45898.0</v>
      </c>
      <c r="H10" s="21">
        <v>45922.0</v>
      </c>
      <c r="I10" s="22"/>
    </row>
    <row r="11">
      <c r="A11" s="23" t="s">
        <v>106</v>
      </c>
      <c r="B11" s="24" t="s">
        <v>94</v>
      </c>
      <c r="C11" s="25">
        <v>45751.0</v>
      </c>
      <c r="D11" s="23" t="s">
        <v>95</v>
      </c>
      <c r="E11" s="23" t="s">
        <v>17</v>
      </c>
      <c r="F11" s="23" t="s">
        <v>102</v>
      </c>
      <c r="G11" s="25">
        <v>45898.0</v>
      </c>
      <c r="H11" s="21">
        <v>45922.0</v>
      </c>
      <c r="I11" s="22"/>
    </row>
    <row r="12">
      <c r="A12" s="26" t="s">
        <v>107</v>
      </c>
      <c r="B12" s="27" t="s">
        <v>94</v>
      </c>
      <c r="C12" s="28">
        <v>45736.0</v>
      </c>
      <c r="D12" s="26" t="s">
        <v>95</v>
      </c>
      <c r="E12" s="26" t="s">
        <v>17</v>
      </c>
      <c r="F12" s="26" t="s">
        <v>108</v>
      </c>
      <c r="G12" s="28">
        <v>45898.0</v>
      </c>
      <c r="H12" s="21">
        <v>45922.0</v>
      </c>
      <c r="I12" s="22"/>
    </row>
    <row r="13">
      <c r="A13" s="26" t="s">
        <v>109</v>
      </c>
      <c r="B13" s="27" t="s">
        <v>94</v>
      </c>
      <c r="C13" s="28">
        <v>45736.0</v>
      </c>
      <c r="D13" s="26" t="s">
        <v>95</v>
      </c>
      <c r="E13" s="26" t="s">
        <v>17</v>
      </c>
      <c r="F13" s="26" t="s">
        <v>108</v>
      </c>
      <c r="G13" s="28">
        <v>45898.0</v>
      </c>
      <c r="H13" s="21">
        <v>45922.0</v>
      </c>
      <c r="I13" s="22"/>
    </row>
    <row r="14">
      <c r="A14" s="26" t="s">
        <v>110</v>
      </c>
      <c r="B14" s="27" t="s">
        <v>94</v>
      </c>
      <c r="C14" s="28">
        <v>45736.0</v>
      </c>
      <c r="D14" s="26" t="s">
        <v>95</v>
      </c>
      <c r="E14" s="26" t="s">
        <v>17</v>
      </c>
      <c r="F14" s="26" t="s">
        <v>108</v>
      </c>
      <c r="G14" s="28">
        <v>45898.0</v>
      </c>
      <c r="H14" s="21">
        <v>45922.0</v>
      </c>
      <c r="I14" s="22"/>
    </row>
    <row r="15">
      <c r="A15" s="26" t="s">
        <v>111</v>
      </c>
      <c r="B15" s="27" t="s">
        <v>94</v>
      </c>
      <c r="C15" s="28">
        <v>45751.0</v>
      </c>
      <c r="D15" s="26" t="s">
        <v>95</v>
      </c>
      <c r="E15" s="26" t="s">
        <v>17</v>
      </c>
      <c r="F15" s="26" t="s">
        <v>108</v>
      </c>
      <c r="G15" s="28">
        <v>45898.0</v>
      </c>
      <c r="H15" s="21">
        <v>45922.0</v>
      </c>
      <c r="I15" s="22"/>
    </row>
    <row r="16">
      <c r="A16" s="26" t="s">
        <v>112</v>
      </c>
      <c r="B16" s="27" t="s">
        <v>94</v>
      </c>
      <c r="C16" s="28">
        <v>45751.0</v>
      </c>
      <c r="D16" s="26" t="s">
        <v>95</v>
      </c>
      <c r="E16" s="26" t="s">
        <v>17</v>
      </c>
      <c r="F16" s="26" t="s">
        <v>108</v>
      </c>
      <c r="G16" s="28">
        <v>45898.0</v>
      </c>
      <c r="H16" s="21">
        <v>45922.0</v>
      </c>
      <c r="I16" s="22"/>
    </row>
    <row r="17">
      <c r="A17" s="29" t="s">
        <v>113</v>
      </c>
      <c r="B17" s="30" t="s">
        <v>94</v>
      </c>
      <c r="C17" s="31">
        <v>45722.0</v>
      </c>
      <c r="D17" s="29" t="s">
        <v>95</v>
      </c>
      <c r="E17" s="29" t="s">
        <v>17</v>
      </c>
      <c r="F17" s="29" t="s">
        <v>25</v>
      </c>
      <c r="G17" s="31">
        <v>45898.0</v>
      </c>
      <c r="H17" s="21">
        <v>45922.0</v>
      </c>
      <c r="I17" s="22"/>
    </row>
    <row r="18">
      <c r="A18" s="29" t="s">
        <v>114</v>
      </c>
      <c r="B18" s="30" t="s">
        <v>94</v>
      </c>
      <c r="C18" s="31">
        <v>45736.0</v>
      </c>
      <c r="D18" s="29" t="s">
        <v>95</v>
      </c>
      <c r="E18" s="29" t="s">
        <v>17</v>
      </c>
      <c r="F18" s="29" t="s">
        <v>25</v>
      </c>
      <c r="G18" s="31">
        <v>45898.0</v>
      </c>
      <c r="H18" s="21">
        <v>45922.0</v>
      </c>
      <c r="I18" s="22"/>
    </row>
    <row r="19">
      <c r="A19" s="29" t="s">
        <v>115</v>
      </c>
      <c r="B19" s="30" t="s">
        <v>94</v>
      </c>
      <c r="C19" s="31">
        <v>45751.0</v>
      </c>
      <c r="D19" s="29" t="s">
        <v>95</v>
      </c>
      <c r="E19" s="29" t="s">
        <v>17</v>
      </c>
      <c r="F19" s="29" t="s">
        <v>25</v>
      </c>
      <c r="G19" s="31">
        <v>45898.0</v>
      </c>
      <c r="H19" s="21">
        <v>45922.0</v>
      </c>
      <c r="I19" s="22"/>
    </row>
    <row r="20">
      <c r="A20" s="29" t="s">
        <v>116</v>
      </c>
      <c r="B20" s="30" t="s">
        <v>94</v>
      </c>
      <c r="C20" s="31">
        <v>45751.0</v>
      </c>
      <c r="D20" s="29" t="s">
        <v>95</v>
      </c>
      <c r="E20" s="29" t="s">
        <v>17</v>
      </c>
      <c r="F20" s="29" t="s">
        <v>25</v>
      </c>
      <c r="G20" s="31">
        <v>45898.0</v>
      </c>
      <c r="H20" s="21">
        <v>45922.0</v>
      </c>
      <c r="I20" s="22"/>
    </row>
    <row r="21">
      <c r="A21" s="29" t="s">
        <v>117</v>
      </c>
      <c r="B21" s="30" t="s">
        <v>94</v>
      </c>
      <c r="C21" s="31">
        <v>45751.0</v>
      </c>
      <c r="D21" s="29" t="s">
        <v>95</v>
      </c>
      <c r="E21" s="29" t="s">
        <v>17</v>
      </c>
      <c r="F21" s="29" t="s">
        <v>25</v>
      </c>
      <c r="G21" s="31">
        <v>45898.0</v>
      </c>
      <c r="H21" s="21">
        <v>45922.0</v>
      </c>
      <c r="I21" s="22"/>
    </row>
    <row r="22">
      <c r="A22" s="32" t="s">
        <v>118</v>
      </c>
      <c r="B22" s="33" t="s">
        <v>94</v>
      </c>
      <c r="C22" s="34">
        <v>45722.0</v>
      </c>
      <c r="D22" s="32" t="s">
        <v>95</v>
      </c>
      <c r="E22" s="32" t="s">
        <v>17</v>
      </c>
      <c r="F22" s="32" t="s">
        <v>22</v>
      </c>
      <c r="G22" s="34">
        <v>45898.0</v>
      </c>
      <c r="H22" s="21">
        <v>45922.0</v>
      </c>
      <c r="I22" s="22"/>
    </row>
    <row r="23">
      <c r="A23" s="32" t="s">
        <v>119</v>
      </c>
      <c r="B23" s="33" t="s">
        <v>94</v>
      </c>
      <c r="C23" s="34">
        <v>45722.0</v>
      </c>
      <c r="D23" s="32" t="s">
        <v>95</v>
      </c>
      <c r="E23" s="32" t="s">
        <v>17</v>
      </c>
      <c r="F23" s="32" t="s">
        <v>22</v>
      </c>
      <c r="G23" s="34">
        <v>45898.0</v>
      </c>
      <c r="H23" s="21">
        <v>45922.0</v>
      </c>
      <c r="I23" s="22"/>
    </row>
    <row r="24">
      <c r="A24" s="32" t="s">
        <v>120</v>
      </c>
      <c r="B24" s="33" t="s">
        <v>94</v>
      </c>
      <c r="C24" s="34">
        <v>45736.0</v>
      </c>
      <c r="D24" s="32" t="s">
        <v>95</v>
      </c>
      <c r="E24" s="32" t="s">
        <v>17</v>
      </c>
      <c r="F24" s="32" t="s">
        <v>22</v>
      </c>
      <c r="G24" s="34">
        <v>45898.0</v>
      </c>
      <c r="H24" s="21">
        <v>45922.0</v>
      </c>
      <c r="I24" s="22"/>
    </row>
    <row r="25">
      <c r="A25" s="32" t="s">
        <v>121</v>
      </c>
      <c r="B25" s="33" t="s">
        <v>94</v>
      </c>
      <c r="C25" s="34">
        <v>45751.0</v>
      </c>
      <c r="D25" s="32" t="s">
        <v>95</v>
      </c>
      <c r="E25" s="32" t="s">
        <v>17</v>
      </c>
      <c r="F25" s="32" t="s">
        <v>22</v>
      </c>
      <c r="G25" s="34">
        <v>45898.0</v>
      </c>
      <c r="H25" s="21">
        <v>45922.0</v>
      </c>
      <c r="I25" s="35" t="s">
        <v>122</v>
      </c>
    </row>
    <row r="26">
      <c r="A26" s="32" t="s">
        <v>123</v>
      </c>
      <c r="B26" s="33" t="s">
        <v>94</v>
      </c>
      <c r="C26" s="34">
        <v>45751.0</v>
      </c>
      <c r="D26" s="32" t="s">
        <v>95</v>
      </c>
      <c r="E26" s="32" t="s">
        <v>17</v>
      </c>
      <c r="F26" s="32" t="s">
        <v>22</v>
      </c>
      <c r="G26" s="34">
        <v>45898.0</v>
      </c>
      <c r="H26" s="21">
        <v>45922.0</v>
      </c>
      <c r="I26" s="22"/>
    </row>
    <row r="28">
      <c r="A28" s="36" t="s">
        <v>124</v>
      </c>
    </row>
  </sheetData>
  <drawing r:id="rId1"/>
</worksheet>
</file>